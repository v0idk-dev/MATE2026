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k/Coding/Robotics/SFS/09/2026/threat-level/"/>
    </mc:Choice>
  </mc:AlternateContent>
  <xr:revisionPtr revIDLastSave="0" documentId="8_{FDA7C5DA-4CBC-8544-B19A-8B81A2E844D3}" xr6:coauthVersionLast="47" xr6:coauthVersionMax="47" xr10:uidLastSave="{00000000-0000-0000-0000-000000000000}"/>
  <bookViews>
    <workbookView xWindow="0" yWindow="1300" windowWidth="30960" windowHeight="21120" tabRatio="500" xr2:uid="{00000000-000D-0000-FFFF-FFFF00000000}"/>
  </bookViews>
  <sheets>
    <sheet name="Iceberg Threat Calculat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1" l="1"/>
  <c r="A22" i="1"/>
  <c r="A21" i="1"/>
  <c r="A20" i="1"/>
  <c r="A19" i="1"/>
  <c r="E8" i="1"/>
  <c r="I19" i="1" s="1"/>
  <c r="E7" i="1"/>
  <c r="E6" i="1"/>
  <c r="G20" i="1" l="1"/>
  <c r="E22" i="1" s="1"/>
  <c r="C21" i="1"/>
  <c r="I17" i="1"/>
  <c r="H20" i="1"/>
  <c r="G17" i="1"/>
  <c r="G18" i="1"/>
  <c r="I20" i="1"/>
  <c r="H18" i="1"/>
  <c r="I18" i="1"/>
  <c r="G19" i="1"/>
  <c r="H19" i="1"/>
  <c r="H17" i="1"/>
  <c r="B22" i="1" l="1"/>
  <c r="C19" i="1"/>
  <c r="J17" i="1"/>
  <c r="B21" i="1"/>
  <c r="E21" i="1"/>
  <c r="C20" i="1"/>
  <c r="J18" i="1"/>
  <c r="J19" i="1"/>
  <c r="C22" i="1"/>
  <c r="J20" i="1"/>
  <c r="E20" i="1"/>
  <c r="B20" i="1"/>
  <c r="E19" i="1"/>
  <c r="B19" i="1"/>
  <c r="K17" i="1" l="1"/>
  <c r="F19" i="1" s="1"/>
  <c r="K18" i="1"/>
  <c r="F20" i="1" s="1"/>
  <c r="K20" i="1"/>
  <c r="F22" i="1" s="1"/>
  <c r="K19" i="1"/>
  <c r="F21" i="1" s="1"/>
  <c r="D19" i="1"/>
  <c r="D21" i="1" l="1"/>
  <c r="D22" i="1"/>
  <c r="D20" i="1"/>
</calcChain>
</file>

<file path=xl/sharedStrings.xml><?xml version="1.0" encoding="utf-8"?>
<sst xmlns="http://schemas.openxmlformats.org/spreadsheetml/2006/main" count="58" uniqueCount="47">
  <si>
    <t>Field</t>
  </si>
  <si>
    <t>Raw Input</t>
  </si>
  <si>
    <t>Format</t>
  </si>
  <si>
    <t>Decimal Degrees</t>
  </si>
  <si>
    <t>Latitude (°N)</t>
  </si>
  <si>
    <t>D.MMSS  e.g. 47°39'00" N  →  47.3900</t>
  </si>
  <si>
    <t>→</t>
  </si>
  <si>
    <t>Longitude (°W)</t>
  </si>
  <si>
    <t>D.MMSS  e.g. 48°37'00" W  →  48.3700</t>
  </si>
  <si>
    <t>Heading (°)</t>
  </si>
  <si>
    <t>0–360°   0=N · 90=E · 180=S · 270=W</t>
  </si>
  <si>
    <t>Keel Depth (m)</t>
  </si>
  <si>
    <t>Positive metres below sea surface</t>
  </si>
  <si>
    <t>Platform</t>
  </si>
  <si>
    <t>Ocean Depth (m)</t>
  </si>
  <si>
    <t>Hibernia</t>
  </si>
  <si>
    <t>Sea Rose</t>
  </si>
  <si>
    <t>Terra Nova</t>
  </si>
  <si>
    <t>Hebron</t>
  </si>
  <si>
    <t>Distance to
Iceberg Path (nm)</t>
  </si>
  <si>
    <t>Keel/Depth
Ratio</t>
  </si>
  <si>
    <t>Platform
Threat</t>
  </si>
  <si>
    <t>Subsea
Threat</t>
  </si>
  <si>
    <t>COMPETITION ANSWER SUMMARY</t>
  </si>
  <si>
    <t>PLATFORM THREAT  (distance from iceberg path to platform)</t>
  </si>
  <si>
    <t>RED</t>
  </si>
  <si>
    <t>Iceberg passes &lt; 5 nautical miles from platform</t>
  </si>
  <si>
    <t>YELLOW</t>
  </si>
  <si>
    <t>Iceberg passes 5–10 nautical miles from platform</t>
  </si>
  <si>
    <t>GREEN</t>
  </si>
  <si>
    <t>Iceberg passes &gt; 10 nm  OR  iceberg will ground before reaching this platform</t>
  </si>
  <si>
    <t>SUBSEA THREAT  (only applies within 25 nm — keel/depth ratio)</t>
  </si>
  <si>
    <t>≥ 110%</t>
  </si>
  <si>
    <t>Iceberg will ground before reaching assets</t>
  </si>
  <si>
    <t>90–110%</t>
  </si>
  <si>
    <t>Critical danger — keel at or near seabed depth</t>
  </si>
  <si>
    <t>70–90%</t>
  </si>
  <si>
    <t>Caution — keel may impact seafloor</t>
  </si>
  <si>
    <t>&lt; 70%</t>
  </si>
  <si>
    <t>Too shallow — never a threat to subsea assets</t>
  </si>
  <si>
    <t>&gt; 25 nm</t>
  </si>
  <si>
    <t>Outside subsea threat zone entirely</t>
  </si>
  <si>
    <t>Iceberg Data Calculator</t>
  </si>
  <si>
    <t>Platform Reference Data</t>
  </si>
  <si>
    <t>Iceberg Input Data</t>
  </si>
  <si>
    <t>RULES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</si>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</sst>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rgb="FF00008B"/>
      <name val="Arial"/>
      <family val="2"/>
    </font>
    <font>
      <i/>
      <sz val="9"/>
      <color rgb="FF666666"/>
      <name val="Arial"/>
      <family val="2"/>
    </font>
    <font>
      <sz val="10"/>
      <color rgb="FF888888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BF3FB"/>
      </patternFill>
    </fill>
    <fill>
      <patternFill patternType="solid">
        <fgColor rgb="FFFFF2CC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FFD966"/>
        <bgColor rgb="FFFFFF99"/>
      </patternFill>
    </fill>
    <fill>
      <patternFill patternType="solid">
        <fgColor rgb="FF375623"/>
        <bgColor rgb="FF555555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9" fontId="10" fillId="6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wrapText="1"/>
    </xf>
    <xf numFmtId="2" fontId="0" fillId="0" borderId="0" xfId="0" applyNumberFormat="1"/>
    <xf numFmtId="10" fontId="0" fillId="0" borderId="0" xfId="0" applyNumberFormat="1"/>
    <xf numFmtId="2" fontId="0" fillId="7" borderId="2" xfId="0" applyNumberFormat="1" applyFill="1" applyBorder="1" applyAlignment="1">
      <alignment horizontal="center" vertical="center"/>
    </xf>
    <xf numFmtId="9" fontId="10" fillId="7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6">
    <dxf>
      <font>
        <b/>
        <color rgb="FFFFFFFF"/>
        <name val="Arial"/>
        <charset val="1"/>
      </font>
      <fill>
        <patternFill>
          <bgColor rgb="FF375623"/>
        </patternFill>
      </fill>
    </dxf>
    <dxf>
      <font>
        <b/>
        <color rgb="FF000000"/>
        <name val="Arial"/>
        <charset val="1"/>
      </font>
      <fill>
        <patternFill>
          <bgColor rgb="FFFFD966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FFFFFF"/>
        <name val="Arial"/>
        <charset val="1"/>
      </font>
      <fill>
        <patternFill>
          <bgColor rgb="FF375623"/>
        </patternFill>
      </fill>
    </dxf>
    <dxf>
      <font>
        <b/>
        <color rgb="FF000000"/>
        <name val="Arial"/>
        <charset val="1"/>
      </font>
      <fill>
        <patternFill>
          <bgColor rgb="FFFFD966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55555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Normal="100" workbookViewId="0">
      <selection activeCell="P10" sqref="P10"/>
    </sheetView>
  </sheetViews>
  <sheetFormatPr baseColWidth="10" defaultColWidth="8.6640625" defaultRowHeight="15" x14ac:dyDescent="0.2"/>
  <cols>
    <col min="1" max="2" width="14" customWidth="1"/>
    <col min="3" max="3" width="13" customWidth="1"/>
    <col min="4" max="5" width="14" customWidth="1"/>
    <col min="6" max="6" width="46" customWidth="1"/>
    <col min="7" max="9" width="10" hidden="1" customWidth="1"/>
    <col min="10" max="11" width="8" hidden="1" customWidth="1"/>
  </cols>
  <sheetData>
    <row r="1" spans="1:11" ht="31.5" customHeight="1" x14ac:dyDescent="0.2">
      <c r="A1" s="28" t="s">
        <v>42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1.75" customHeight="1" x14ac:dyDescent="0.2">
      <c r="G2" s="27"/>
      <c r="H2" s="27"/>
      <c r="I2" s="27"/>
      <c r="J2" s="27"/>
      <c r="K2" s="27"/>
    </row>
    <row r="3" spans="1:11" ht="18" customHeight="1" x14ac:dyDescent="0.2">
      <c r="A3" s="29" t="s">
        <v>44</v>
      </c>
      <c r="B3" s="29"/>
      <c r="C3" s="29"/>
      <c r="D3" s="29"/>
      <c r="E3" s="29"/>
    </row>
    <row r="4" spans="1:11" ht="21.75" customHeight="1" thickBot="1" x14ac:dyDescent="0.25">
      <c r="A4" s="1" t="s">
        <v>0</v>
      </c>
      <c r="B4" s="1" t="s">
        <v>1</v>
      </c>
      <c r="C4" s="1" t="s">
        <v>2</v>
      </c>
      <c r="D4" s="1"/>
      <c r="E4" s="1" t="s">
        <v>3</v>
      </c>
    </row>
    <row r="5" spans="1:11" ht="21.75" customHeight="1" thickBot="1" x14ac:dyDescent="0.25">
      <c r="A5" s="2" t="s">
        <v>4</v>
      </c>
      <c r="B5" s="3">
        <v>47.45</v>
      </c>
      <c r="C5" s="4" t="s">
        <v>5</v>
      </c>
      <c r="D5" s="5" t="s">
        <v>6</v>
      </c>
      <c r="E5" s="6">
        <f>INT(B5)+INT(ROUND((B5-INT(B5))*100,4))/60+(ROUND((B5-INT(B5))*100,4)-INT(ROUND((B5-INT(B5))*100,4)))/3600</f>
        <v>47.75</v>
      </c>
    </row>
    <row r="6" spans="1:11" ht="21.75" customHeight="1" thickBot="1" x14ac:dyDescent="0.25">
      <c r="A6" s="2" t="s">
        <v>7</v>
      </c>
      <c r="B6" s="3">
        <v>48.29</v>
      </c>
      <c r="C6" s="4" t="s">
        <v>8</v>
      </c>
      <c r="D6" s="5" t="s">
        <v>6</v>
      </c>
      <c r="E6" s="6">
        <f>INT(B6)+INT(ROUND((B6-INT(B6))*100,4))/60+(ROUND((B6-INT(B6))*100,4)-INT(ROUND((B6-INT(B6))*100,4)))/3600</f>
        <v>48.483333333333334</v>
      </c>
    </row>
    <row r="7" spans="1:11" ht="21.75" customHeight="1" thickBot="1" x14ac:dyDescent="0.25">
      <c r="A7" s="2" t="s">
        <v>9</v>
      </c>
      <c r="B7" s="3">
        <v>198</v>
      </c>
      <c r="C7" s="4" t="s">
        <v>10</v>
      </c>
      <c r="D7" s="5" t="s">
        <v>6</v>
      </c>
      <c r="E7" s="6">
        <f>B7</f>
        <v>198</v>
      </c>
    </row>
    <row r="8" spans="1:11" ht="19.5" customHeight="1" thickBot="1" x14ac:dyDescent="0.25">
      <c r="A8" s="2" t="s">
        <v>11</v>
      </c>
      <c r="B8" s="3">
        <v>84</v>
      </c>
      <c r="C8" s="4" t="s">
        <v>12</v>
      </c>
      <c r="D8" s="5" t="s">
        <v>6</v>
      </c>
      <c r="E8" s="6">
        <f>B8</f>
        <v>84</v>
      </c>
    </row>
    <row r="9" spans="1:11" ht="27.75" customHeight="1" x14ac:dyDescent="0.2">
      <c r="G9" s="26"/>
      <c r="H9" s="26"/>
      <c r="I9" s="26"/>
      <c r="J9" s="26"/>
      <c r="K9" s="26"/>
    </row>
    <row r="10" spans="1:11" ht="18" customHeight="1" x14ac:dyDescent="0.2">
      <c r="A10" s="30" t="s">
        <v>43</v>
      </c>
      <c r="B10" s="30"/>
      <c r="C10" s="30"/>
      <c r="D10" s="30"/>
    </row>
    <row r="11" spans="1:11" ht="18" customHeight="1" x14ac:dyDescent="0.2">
      <c r="A11" s="7" t="s">
        <v>13</v>
      </c>
      <c r="B11" s="7" t="s">
        <v>4</v>
      </c>
      <c r="C11" s="7" t="s">
        <v>7</v>
      </c>
      <c r="D11" s="7" t="s">
        <v>14</v>
      </c>
    </row>
    <row r="12" spans="1:11" ht="18" customHeight="1" x14ac:dyDescent="0.2">
      <c r="A12" s="8" t="s">
        <v>15</v>
      </c>
      <c r="B12" s="9">
        <v>46.750399999999999</v>
      </c>
      <c r="C12" s="9">
        <v>48.7819</v>
      </c>
      <c r="D12" s="9">
        <v>78</v>
      </c>
    </row>
    <row r="13" spans="1:11" ht="18" customHeight="1" x14ac:dyDescent="0.2">
      <c r="A13" s="10" t="s">
        <v>16</v>
      </c>
      <c r="B13" s="11">
        <v>46.789499999999997</v>
      </c>
      <c r="C13" s="11">
        <v>48.146000000000001</v>
      </c>
      <c r="D13" s="11">
        <v>107</v>
      </c>
    </row>
    <row r="14" spans="1:11" ht="19.5" customHeight="1" x14ac:dyDescent="0.2">
      <c r="A14" s="8" t="s">
        <v>17</v>
      </c>
      <c r="B14" s="9">
        <v>46.4</v>
      </c>
      <c r="C14" s="9">
        <v>48.4</v>
      </c>
      <c r="D14" s="9">
        <v>91</v>
      </c>
    </row>
    <row r="15" spans="1:11" ht="36" customHeight="1" x14ac:dyDescent="0.2">
      <c r="A15" s="10" t="s">
        <v>18</v>
      </c>
      <c r="B15" s="11">
        <v>46.543999999999997</v>
      </c>
      <c r="C15" s="11">
        <v>48.518000000000001</v>
      </c>
      <c r="D15" s="11">
        <v>93</v>
      </c>
    </row>
    <row r="16" spans="1:11" ht="25" customHeight="1" x14ac:dyDescent="0.2"/>
    <row r="17" spans="1:11" ht="43" customHeight="1" x14ac:dyDescent="0.2">
      <c r="A17" s="31" t="s">
        <v>23</v>
      </c>
      <c r="B17" s="31"/>
      <c r="C17" s="31"/>
      <c r="D17" s="31"/>
      <c r="E17" s="31"/>
      <c r="F17" s="31"/>
      <c r="G17" s="16">
        <f>ABS(-(C12-$E$6)*COS(RADIANS(($E$5+B12)/2))*60*COS(RADIANS($E$7))-(B12-$E$5)*60*SIN(RADIANS($E$7)))</f>
        <v>6.9687649212248246</v>
      </c>
      <c r="H17" s="16">
        <f>(-(C12-$E$6)*COS(RADIANS(($E$5+B12)/2))*60)*SIN(RADIANS($E$7))+(B12-$E$5)*60*COS(RADIANS($E$7))</f>
        <v>60.798209379591469</v>
      </c>
      <c r="I17" s="17">
        <f>$E$8/D12</f>
        <v>1.0769230769230769</v>
      </c>
      <c r="J17">
        <f>IF(AND(I17&gt;=1.1,G17&lt;10),1,0)</f>
        <v>0</v>
      </c>
      <c r="K17">
        <f>IF(((J18=1)*(H18&lt;H17)+(J19=1)*(H19&lt;H17)+(J20=1)*(H20&lt;H17))&gt;0,1,0)</f>
        <v>0</v>
      </c>
    </row>
    <row r="18" spans="1:11" ht="21" customHeight="1" x14ac:dyDescent="0.2">
      <c r="A18" s="21" t="s">
        <v>13</v>
      </c>
      <c r="B18" s="21" t="s">
        <v>19</v>
      </c>
      <c r="C18" s="21" t="s">
        <v>20</v>
      </c>
      <c r="D18" s="21" t="s">
        <v>21</v>
      </c>
      <c r="E18" s="21" t="s">
        <v>22</v>
      </c>
      <c r="F18" s="21" t="s">
        <v>46</v>
      </c>
      <c r="G18" s="16">
        <f>ABS(-(C13-$E$6)*COS(RADIANS(($E$5+B13)/2))*60*COS(RADIANS($E$7))-(B13-$E$5)*60*SIN(RADIANS($E$7)))</f>
        <v>30.870272286674336</v>
      </c>
      <c r="H18" s="16">
        <f>(-(C13-$E$6)*COS(RADIANS(($E$5+B13)/2))*60)*SIN(RADIANS($E$7))+(B13-$E$5)*60*COS(RADIANS($E$7))</f>
        <v>50.565408488838216</v>
      </c>
      <c r="I18" s="17">
        <f>$E$8/D13</f>
        <v>0.78504672897196259</v>
      </c>
      <c r="J18">
        <f>IF(AND(I18&gt;=1.1,G18&lt;10),1,0)</f>
        <v>0</v>
      </c>
      <c r="K18">
        <f>IF(((J17=1)*(H17&lt;H18)+(J19=1)*(H19&lt;H18)+(J20=1)*(H20&lt;H18))&gt;0,1,0)</f>
        <v>0</v>
      </c>
    </row>
    <row r="19" spans="1:11" ht="23" customHeight="1" x14ac:dyDescent="0.2">
      <c r="A19" s="8" t="str">
        <f>A12</f>
        <v>Hibernia</v>
      </c>
      <c r="B19" s="12">
        <f>G17</f>
        <v>6.9687649212248246</v>
      </c>
      <c r="C19" s="13">
        <f>I17</f>
        <v>1.0769230769230769</v>
      </c>
      <c r="D19" s="14" t="str">
        <f>IF(K17=1,"GREEN",IF(AND(I17&gt;=1.1,G17&lt;10),"GREEN",IF(G17&lt;5,"RED",IF(G17&lt;=10,"YELLOW","GREEN"))))</f>
        <v>YELLOW</v>
      </c>
      <c r="E19" s="14" t="str">
        <f>IF(G17&gt;25,"GREEN",IF(I17&gt;=1.1,"GREEN",IF(I17&gt;=0.9,"RED",IF(I17&gt;=0.7,"YELLOW","GREEN"))))</f>
        <v>RED</v>
      </c>
      <c r="F19" s="15" t="str">
        <f>IF(K17=1,"Iceberg grounded upstream platform &amp; assets protected.",IF(AND(I17&gt;=1.1,G17&lt;10),"Iceberg grounds here (keel "&amp;TEXT($E$8,"0")&amp;"m ≥ 110% of "&amp;D12&amp;"m floor). Downstream platforms protected.",IF(G17&gt;25,"Beyond 25 nm subsea zone Platform dist: "&amp;TEXT(G17,"0.0")&amp;" nm.",IF(G17&lt;5," "&amp;TEXT(G17,"0.00")&amp;" nm within RED zone. Ratio "&amp;TEXT(I17,"0%")&amp;".",IF(G17&lt;=10," "&amp;TEXT(G17,"0.00")&amp;" nm within YELLOW/watch zone. Ratio "&amp;TEXT(I17,"0%")&amp;"."," "&amp;TEXT(G17,"0.0")&amp;" nm beyond 10 nm. Ratio "&amp;TEXT(I17,"0%")&amp;".")))))</f>
        <v xml:space="preserve"> 6.97 nm within YELLOW/watch zone. Ratio 108%.</v>
      </c>
      <c r="G19" s="16">
        <f>ABS(-(C14-$E$6)*COS(RADIANS(($E$5+B14)/2))*60*COS(RADIANS($E$7))-(B14-$E$5)*60*SIN(RADIANS($E$7)))</f>
        <v>28.268916268323995</v>
      </c>
      <c r="H19" s="16">
        <f>(-(C14-$E$6)*COS(RADIANS(($E$5+B14)/2))*60)*SIN(RADIANS($E$7))+(B14-$E$5)*60*COS(RADIANS($E$7))</f>
        <v>75.983312476562446</v>
      </c>
      <c r="I19" s="17">
        <f>$E$8/D14</f>
        <v>0.92307692307692313</v>
      </c>
      <c r="J19">
        <f>IF(AND(I19&gt;=1.1,G19&lt;10),1,0)</f>
        <v>0</v>
      </c>
      <c r="K19">
        <f>IF(((J17=1)*(H17&lt;H19)+(J18=1)*(H18&lt;H19)+(J20=1)*(H20&lt;H19))&gt;0,1,0)</f>
        <v>0</v>
      </c>
    </row>
    <row r="20" spans="1:11" ht="23" customHeight="1" x14ac:dyDescent="0.2">
      <c r="A20" s="10" t="str">
        <f>A13</f>
        <v>Sea Rose</v>
      </c>
      <c r="B20" s="18">
        <f>G18</f>
        <v>30.870272286674336</v>
      </c>
      <c r="C20" s="19">
        <f>I18</f>
        <v>0.78504672897196259</v>
      </c>
      <c r="D20" s="14" t="str">
        <f>IF(K18=1,"GREEN",IF(AND(I18&gt;=1.1,G18&lt;10),"GREEN",IF(G18&lt;5,"RED",IF(G18&lt;=10,"YELLOW","GREEN"))))</f>
        <v>GREEN</v>
      </c>
      <c r="E20" s="14" t="str">
        <f>IF(G18&gt;25,"GREEN",IF(I18&gt;=1.1,"GREEN",IF(I18&gt;=0.9,"RED",IF(I18&gt;=0.7,"YELLOW","GREEN"))))</f>
        <v>GREEN</v>
      </c>
      <c r="F20" s="15" t="str">
        <f>IF(K18=1,"Iceberg grounded upstream platform &amp; assets protected.",IF(AND(I18&gt;=1.1,G18&lt;10),"Iceberg grounds here (keel "&amp;TEXT($E$8,"0")&amp;"m ≥ 110% of "&amp;D13&amp;"m floor). Downstream platforms protected.",IF(G18&gt;25,"Beyond 25 nm subsea zone Platform dist: "&amp;TEXT(G18,"0.0")&amp;" nm.",IF(G18&lt;5," "&amp;TEXT(G18,"0.00")&amp;" nm within RED zone. Ratio "&amp;TEXT(I18,"0%")&amp;".",IF(G18&lt;=10," "&amp;TEXT(G18,"0.00")&amp;" nm within YELLOW/watch zone. Ratio "&amp;TEXT(I18,"0%")&amp;"."," "&amp;TEXT(G18,"0.0")&amp;" nm beyond 10 nm. Ratio "&amp;TEXT(I18,"0%")&amp;".")))))</f>
        <v>Beyond 25 nm subsea zone Platform dist: 30.9 nm.</v>
      </c>
      <c r="G20" s="16">
        <f>ABS(-(C15-$E$6)*COS(RADIANS(($E$5+B15)/2))*60*COS(RADIANS($E$7))-(B15-$E$5)*60*SIN(RADIANS($E$7)))</f>
        <v>21.01505852360566</v>
      </c>
      <c r="H20" s="16">
        <f>(-(C15-$E$6)*COS(RADIANS(($E$5+B15)/2))*60)*SIN(RADIANS($E$7))+(B15-$E$5)*60*COS(RADIANS($E$7))</f>
        <v>69.255600114074511</v>
      </c>
      <c r="I20" s="17">
        <f>$E$8/D15</f>
        <v>0.90322580645161288</v>
      </c>
      <c r="J20">
        <f>IF(AND(I20&gt;=1.1,G20&lt;10),1,0)</f>
        <v>0</v>
      </c>
      <c r="K20">
        <f>IF(((J17=1)*(H17&lt;H20)+(J18=1)*(H18&lt;H20)+(J19=1)*(H19&lt;H20))&gt;0,1,0)</f>
        <v>0</v>
      </c>
    </row>
    <row r="21" spans="1:11" ht="21" customHeight="1" x14ac:dyDescent="0.2">
      <c r="A21" s="8" t="str">
        <f>A14</f>
        <v>Terra Nova</v>
      </c>
      <c r="B21" s="12">
        <f>G19</f>
        <v>28.268916268323995</v>
      </c>
      <c r="C21" s="13">
        <f>I19</f>
        <v>0.92307692307692313</v>
      </c>
      <c r="D21" s="14" t="str">
        <f>IF(K19=1,"GREEN",IF(AND(I19&gt;=1.1,G19&lt;10),"GREEN",IF(G19&lt;5,"RED",IF(G19&lt;=10,"YELLOW","GREEN"))))</f>
        <v>GREEN</v>
      </c>
      <c r="E21" s="14" t="str">
        <f>IF(G19&gt;25,"GREEN",IF(I19&gt;=1.1,"GREEN",IF(I19&gt;=0.9,"RED",IF(I19&gt;=0.7,"YELLOW","GREEN"))))</f>
        <v>GREEN</v>
      </c>
      <c r="F21" s="15" t="str">
        <f>IF(K19=1,"Iceberg grounded upstream platform &amp; assets protected.",IF(AND(I19&gt;=1.1,G19&lt;10),"Iceberg grounds here (keel "&amp;TEXT($E$8,"0")&amp;"m ≥ 110% of "&amp;D14&amp;"m floor). Downstream platforms protected.",IF(G19&gt;25,"Beyond 25 nm subsea zone Platform dist: "&amp;TEXT(G19,"0.0")&amp;" nm.",IF(G19&lt;5," "&amp;TEXT(G19,"0.00")&amp;" nm within RED zone. Ratio "&amp;TEXT(I19,"0%")&amp;".",IF(G19&lt;=10," "&amp;TEXT(G19,"0.00")&amp;" nm within YELLOW/watch zone. Ratio "&amp;TEXT(I19,"0%")&amp;"."," "&amp;TEXT(G19,"0.0")&amp;" nm — beyond 10 nm. Ratio "&amp;TEXT(I19,"0%")&amp;".")))))</f>
        <v>Beyond 25 nm subsea zone Platform dist: 28.3 nm.</v>
      </c>
    </row>
    <row r="22" spans="1:11" ht="24" customHeight="1" x14ac:dyDescent="0.2">
      <c r="A22" s="10" t="str">
        <f>A15</f>
        <v>Hebron</v>
      </c>
      <c r="B22" s="18">
        <f>G20</f>
        <v>21.01505852360566</v>
      </c>
      <c r="C22" s="19">
        <f>I20</f>
        <v>0.90322580645161288</v>
      </c>
      <c r="D22" s="14" t="str">
        <f>IF(K20=1,"GREEN",IF(AND(I20&gt;=1.1,G20&lt;10),"GREEN",IF(G20&lt;5,"RED",IF(G20&lt;=10,"YELLOW","GREEN"))))</f>
        <v>GREEN</v>
      </c>
      <c r="E22" s="14" t="str">
        <f>IF(G20&gt;25,"GREEN",IF(I20&gt;=1.1,"GREEN",IF(I20&gt;=0.9,"RED",IF(I20&gt;=0.7,"YELLOW","GREEN"))))</f>
        <v>RED</v>
      </c>
      <c r="F22" s="20" t="str">
        <f>IF(K20=1,"Iceberg grounded upstream platform &amp; assets protected.",IF(AND(I20&gt;=1.1,G20&lt;10),"Iceberg grounds here (keel "&amp;TEXT($E$8,"0")&amp;"m ≥ 110% of "&amp;D15&amp;"m floor). Downstream platforms protected.",IF(G20&gt;25,"Beyond 25 nm subsea zone no subsea threat. Platform dist: "&amp;TEXT(G20,"0.0")&amp;" nm.",IF(G20&lt;5," "&amp;TEXT(G20,"0.00")&amp;" nm within RED zone. Ratio F19"&amp;TEXT(I20,"0%")&amp;".",IF(G20&lt;=10," "&amp;TEXT(G20,"0.00")&amp;" nm within YELLOW/watch zone. Ratio "&amp;TEXT(I20,"0%")&amp;"."," "&amp;TEXT(G20,"0.0")&amp;" nm beyond 10 nm. Ratio "&amp;TEXT(I20,"0%")&amp;".")))))</f>
        <v xml:space="preserve"> 21.0 nm beyond 10 nm. Ratio 90%.</v>
      </c>
    </row>
    <row r="23" spans="1:11" ht="24" customHeight="1" x14ac:dyDescent="0.2"/>
    <row r="24" spans="1:11" ht="24" customHeight="1" x14ac:dyDescent="0.2">
      <c r="A24" s="30" t="s">
        <v>45</v>
      </c>
      <c r="B24" s="30"/>
      <c r="C24" s="30"/>
      <c r="D24" s="30"/>
      <c r="E24" s="30"/>
      <c r="F24" s="30"/>
    </row>
    <row r="25" spans="1:11" ht="24" customHeight="1" x14ac:dyDescent="0.2">
      <c r="A25" s="32" t="s">
        <v>24</v>
      </c>
      <c r="B25" s="32"/>
      <c r="C25" s="32"/>
      <c r="D25" s="32"/>
      <c r="E25" s="32"/>
      <c r="F25" s="32"/>
    </row>
    <row r="26" spans="1:11" ht="19.5" customHeight="1" x14ac:dyDescent="0.2">
      <c r="A26" s="22" t="s">
        <v>25</v>
      </c>
      <c r="B26" s="33" t="s">
        <v>26</v>
      </c>
      <c r="C26" s="33"/>
      <c r="D26" s="33"/>
      <c r="E26" s="33"/>
      <c r="F26" s="33"/>
    </row>
    <row r="27" spans="1:11" ht="18" customHeight="1" x14ac:dyDescent="0.2">
      <c r="A27" s="23" t="s">
        <v>27</v>
      </c>
      <c r="B27" s="33" t="s">
        <v>28</v>
      </c>
      <c r="C27" s="33"/>
      <c r="D27" s="33"/>
      <c r="E27" s="33"/>
      <c r="F27" s="33"/>
    </row>
    <row r="28" spans="1:11" ht="18" customHeight="1" x14ac:dyDescent="0.2">
      <c r="A28" s="24" t="s">
        <v>29</v>
      </c>
      <c r="B28" s="33" t="s">
        <v>30</v>
      </c>
      <c r="C28" s="33"/>
      <c r="D28" s="33"/>
      <c r="E28" s="33"/>
      <c r="F28" s="33"/>
    </row>
    <row r="29" spans="1:11" ht="18" customHeight="1" x14ac:dyDescent="0.2">
      <c r="A29" s="32" t="s">
        <v>31</v>
      </c>
      <c r="B29" s="32"/>
      <c r="C29" s="32"/>
      <c r="D29" s="32"/>
      <c r="E29" s="32"/>
      <c r="F29" s="32"/>
    </row>
    <row r="30" spans="1:11" ht="18" customHeight="1" x14ac:dyDescent="0.2">
      <c r="A30" s="24" t="s">
        <v>29</v>
      </c>
      <c r="B30" s="25" t="s">
        <v>32</v>
      </c>
      <c r="C30" s="33" t="s">
        <v>33</v>
      </c>
      <c r="D30" s="33"/>
      <c r="E30" s="33"/>
      <c r="F30" s="33"/>
    </row>
    <row r="31" spans="1:11" ht="18" customHeight="1" x14ac:dyDescent="0.2">
      <c r="A31" s="22" t="s">
        <v>25</v>
      </c>
      <c r="B31" s="25" t="s">
        <v>34</v>
      </c>
      <c r="C31" s="33" t="s">
        <v>35</v>
      </c>
      <c r="D31" s="33"/>
      <c r="E31" s="33"/>
      <c r="F31" s="33"/>
    </row>
    <row r="32" spans="1:11" ht="18" customHeight="1" x14ac:dyDescent="0.2">
      <c r="A32" s="23" t="s">
        <v>27</v>
      </c>
      <c r="B32" s="25" t="s">
        <v>36</v>
      </c>
      <c r="C32" s="33" t="s">
        <v>37</v>
      </c>
      <c r="D32" s="33"/>
      <c r="E32" s="33"/>
      <c r="F32" s="33"/>
    </row>
    <row r="33" spans="1:6" ht="18" customHeight="1" x14ac:dyDescent="0.2">
      <c r="A33" s="24" t="s">
        <v>29</v>
      </c>
      <c r="B33" s="25" t="s">
        <v>38</v>
      </c>
      <c r="C33" s="33" t="s">
        <v>39</v>
      </c>
      <c r="D33" s="33"/>
      <c r="E33" s="33"/>
      <c r="F33" s="33"/>
    </row>
    <row r="34" spans="1:6" ht="18" customHeight="1" x14ac:dyDescent="0.2">
      <c r="A34" s="24" t="s">
        <v>29</v>
      </c>
      <c r="B34" s="25" t="s">
        <v>40</v>
      </c>
      <c r="C34" s="33" t="s">
        <v>41</v>
      </c>
      <c r="D34" s="33"/>
      <c r="E34" s="33"/>
      <c r="F34" s="33"/>
    </row>
    <row r="35" spans="1:6" ht="18" customHeight="1" x14ac:dyDescent="0.2"/>
    <row r="36" spans="1:6" ht="18" customHeight="1" x14ac:dyDescent="0.2"/>
  </sheetData>
  <mergeCells count="15">
    <mergeCell ref="B27:F27"/>
    <mergeCell ref="B26:F26"/>
    <mergeCell ref="A25:F25"/>
    <mergeCell ref="A10:D10"/>
    <mergeCell ref="A3:E3"/>
    <mergeCell ref="C34:F34"/>
    <mergeCell ref="B28:F28"/>
    <mergeCell ref="A29:F29"/>
    <mergeCell ref="C30:F30"/>
    <mergeCell ref="C31:F31"/>
    <mergeCell ref="C32:F32"/>
    <mergeCell ref="C33:F33"/>
    <mergeCell ref="A24:F24"/>
    <mergeCell ref="A1:K1"/>
    <mergeCell ref="A17:F17"/>
  </mergeCells>
  <conditionalFormatting sqref="D19:E22">
    <cfRule type="expression" dxfId="5" priority="2">
      <formula>LEFT(D19,3)="RED"</formula>
    </cfRule>
    <cfRule type="expression" dxfId="4" priority="3">
      <formula>LEFT(D19,3)="YEL"</formula>
    </cfRule>
    <cfRule type="expression" dxfId="3" priority="4">
      <formula>LEFT(D19,3)="GRE"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Iceberg Threat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Dogukan Koc</cp:lastModifiedBy>
  <cp:revision>0</cp:revision>
  <cp:lastPrinted>2026-02-26T22:16:17Z</cp:lastPrinted>
  <dcterms:created xsi:type="dcterms:W3CDTF">2026-02-23T23:00:11Z</dcterms:created>
  <dcterms:modified xsi:type="dcterms:W3CDTF">2026-02-28T19:08:47Z</dcterms:modified>
  <dc:language>en-US</dc:language>
</cp:coreProperties>
</file>